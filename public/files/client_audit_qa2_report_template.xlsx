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sq1\Tracker\sq1hs-tracker-ui\public\files\"/>
    </mc:Choice>
  </mc:AlternateContent>
  <xr:revisionPtr revIDLastSave="0" documentId="13_ncr:1_{F766B3FD-1457-40F2-9627-00A650EF72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1" l="1"/>
  <c r="L13" i="1"/>
  <c r="L12" i="1"/>
  <c r="L11" i="1"/>
  <c r="L10" i="1"/>
  <c r="L9" i="1"/>
  <c r="L8" i="1"/>
  <c r="L7" i="1"/>
  <c r="L6" i="1"/>
  <c r="L5" i="1"/>
  <c r="L4" i="1"/>
  <c r="L3" i="1"/>
  <c r="L2" i="1"/>
  <c r="M3" i="1"/>
  <c r="M4" i="1"/>
  <c r="M5" i="1"/>
  <c r="M6" i="1"/>
  <c r="M7" i="1"/>
  <c r="M8" i="1"/>
  <c r="M9" i="1"/>
  <c r="M10" i="1"/>
  <c r="M11" i="1"/>
  <c r="M12" i="1"/>
  <c r="M13" i="1"/>
  <c r="M14" i="1"/>
  <c r="M2" i="1"/>
</calcChain>
</file>

<file path=xl/sharedStrings.xml><?xml version="1.0" encoding="utf-8"?>
<sst xmlns="http://schemas.openxmlformats.org/spreadsheetml/2006/main" count="99" uniqueCount="64">
  <si>
    <t>Audit Complete Date</t>
  </si>
  <si>
    <t>Audit Type (traditional, traditional_lookback, lookback)</t>
  </si>
  <si>
    <t>Original Codes Found</t>
  </si>
  <si>
    <t>Dos Corrected</t>
  </si>
  <si>
    <t>Rendering Provider Corrected</t>
  </si>
  <si>
    <t>DX Level Comment Code Corrected</t>
  </si>
  <si>
    <t>Pos Corrected</t>
  </si>
  <si>
    <t>Codes Added</t>
  </si>
  <si>
    <t>Codes Deleted</t>
  </si>
  <si>
    <t>DX Codes Updated</t>
  </si>
  <si>
    <t>No of Dx Codes Error</t>
  </si>
  <si>
    <t>No of Admin Errors</t>
  </si>
  <si>
    <t>Total Absolute Errors</t>
  </si>
  <si>
    <t>Coding Completed Duration</t>
  </si>
  <si>
    <t>Audit Completed Duration</t>
  </si>
  <si>
    <t>Error Comments</t>
  </si>
  <si>
    <t>Report Type</t>
  </si>
  <si>
    <t>Auditor Name</t>
  </si>
  <si>
    <t>Chart Level QA Score</t>
  </si>
  <si>
    <t>DX Level QA Score</t>
  </si>
  <si>
    <t>31m</t>
  </si>
  <si>
    <t>28m</t>
  </si>
  <si>
    <r>
      <t>updated pg. 8 to pg. 7</t>
    </r>
    <r>
      <rPr>
        <sz val="11"/>
        <color rgb="FF000000"/>
        <rFont val="Aptos Narrow"/>
        <family val="2"/>
      </rPr>
      <t xml:space="preserve">  </t>
    </r>
    <r>
      <rPr>
        <sz val="11"/>
        <color rgb="FF000000"/>
        <rFont val="Aptos Narrow"/>
        <family val="2"/>
      </rPr>
      <t>--admin error, Update F32A to F341 pg. 16 - higher specificity noted in PL. See GL - Aetna MRA Issue 5, pg. 120Update F32A pg. 29 to F341 pg. 28 - higher specificity noted in PL. See GL - Aetna MRA Issue 5, pg. 120</t>
    </r>
  </si>
  <si>
    <t>Robyn Pommier-Quigley</t>
  </si>
  <si>
    <t>18m</t>
  </si>
  <si>
    <t>36m</t>
  </si>
  <si>
    <t>(U) J45909 -&amp;gt; J449 as PAV in HPI with higher specificityHigher spec found in AsmtNo meat for chronic found in PL per Sub Guide.</t>
  </si>
  <si>
    <t>Erika Rohde</t>
  </si>
  <si>
    <t>7m</t>
  </si>
  <si>
    <t>8m</t>
  </si>
  <si>
    <r>
      <t>U - E785 to E782 HPI pg 17 states type is combined, U - E785 to E782 HPI pg 33 states type is combined</t>
    </r>
    <r>
      <rPr>
        <sz val="11"/>
        <color rgb="FF000000"/>
        <rFont val="Aptos Narrow"/>
        <family val="2"/>
      </rPr>
      <t xml:space="preserve">
</t>
    </r>
    <r>
      <rPr>
        <sz val="11"/>
        <color rgb="FF000000"/>
        <rFont val="Aptos Narrow"/>
        <family val="2"/>
      </rPr>
      <t>, U - E785 to E782 HPI pg 70 states type is combined</t>
    </r>
    <r>
      <rPr>
        <sz val="11"/>
        <color rgb="FF000000"/>
        <rFont val="Aptos Narrow"/>
        <family val="2"/>
      </rPr>
      <t xml:space="preserve">
</t>
    </r>
  </si>
  <si>
    <t>Angie Emerson</t>
  </si>
  <si>
    <t>32m</t>
  </si>
  <si>
    <t>790m</t>
  </si>
  <si>
    <t>Updated I10 to I119 - ECG done 1/22 showed diastolic dysfunction in Plan, Updated I10 to I119 - ECG done 1/22 showed diastolic dysfunction in Plan, Updated I10 to I119 - ECG done 1/22 showed diastolic dysfunction in Plan</t>
  </si>
  <si>
    <t>Hasiyna Harding</t>
  </si>
  <si>
    <t>24m</t>
  </si>
  <si>
    <t>33m</t>
  </si>
  <si>
    <t>Updated E7800 to E782 - PMH of both hypercholesterolemia and hypertriglyceridemia, higher specificity, Updated E7800 to E782 - PMH of both hypercholesterolemia and hypertriglyceridemia, higher specificity, Updated E7800 to E782 - PMH of both hypercholesterolemia and hypertriglyceridemia, higher specificity, Updated E7800 to E782 - PMH of both hypercholesterolemia and hypertriglyceridemia, higher specificity, Updated E781 to E782 - PMH of both hypercholesterolemia and hypertriglyceridemia, higher specificity</t>
  </si>
  <si>
    <t>39m</t>
  </si>
  <si>
    <t>27m</t>
  </si>
  <si>
    <t>In the HPI Provider states pt is followed for CKD and Anemia in CKD</t>
  </si>
  <si>
    <t>Jeanie Montalvo</t>
  </si>
  <si>
    <t>30m</t>
  </si>
  <si>
    <t>51m</t>
  </si>
  <si>
    <r>
      <t>Chronic Depression codes to Dysthymic Disorder; see DEF under DX</t>
    </r>
    <r>
      <rPr>
        <sz val="11"/>
        <color rgb="FF000000"/>
        <rFont val="Aptos Narrow"/>
        <family val="2"/>
      </rPr>
      <t xml:space="preserve">  </t>
    </r>
    <r>
      <rPr>
        <sz val="11"/>
        <color rgb="FF000000"/>
        <rFont val="Aptos Narrow"/>
        <family val="2"/>
      </rPr>
      <t>F341, Chronic Depression codes to Dysthymic Disorder; see DEF under DX</t>
    </r>
    <r>
      <rPr>
        <sz val="11"/>
        <color rgb="FF000000"/>
        <rFont val="Aptos Narrow"/>
        <family val="2"/>
      </rPr>
      <t xml:space="preserve">  </t>
    </r>
    <r>
      <rPr>
        <sz val="11"/>
        <color rgb="FF000000"/>
        <rFont val="Aptos Narrow"/>
        <family val="2"/>
      </rPr>
      <t>F341, Chronic Depression codes to Dysthymic Disorder; see DEF under DX</t>
    </r>
    <r>
      <rPr>
        <sz val="11"/>
        <color rgb="FF000000"/>
        <rFont val="Aptos Narrow"/>
        <family val="2"/>
      </rPr>
      <t xml:space="preserve">  </t>
    </r>
    <r>
      <rPr>
        <sz val="11"/>
        <color rgb="FF000000"/>
        <rFont val="Aptos Narrow"/>
        <family val="2"/>
      </rPr>
      <t>F341, Chronic Depression codes to Dysthymic Disorder; see DEF under DX</t>
    </r>
    <r>
      <rPr>
        <sz val="11"/>
        <color rgb="FF000000"/>
        <rFont val="Aptos Narrow"/>
        <family val="2"/>
      </rPr>
      <t xml:space="preserve">  </t>
    </r>
    <r>
      <rPr>
        <sz val="11"/>
        <color rgb="FF000000"/>
        <rFont val="Aptos Narrow"/>
        <family val="2"/>
      </rPr>
      <t>F341, Chronic Depression codes to Dysthymic Disorder; see DEF under DX</t>
    </r>
    <r>
      <rPr>
        <sz val="11"/>
        <color rgb="FF000000"/>
        <rFont val="Aptos Narrow"/>
        <family val="2"/>
      </rPr>
      <t xml:space="preserve">  </t>
    </r>
    <r>
      <rPr>
        <sz val="11"/>
        <color rgb="FF000000"/>
        <rFont val="Aptos Narrow"/>
        <family val="2"/>
      </rPr>
      <t>F341, Chronic Depression codes to Dysthymic Disorder; see DEF under DX</t>
    </r>
    <r>
      <rPr>
        <sz val="11"/>
        <color rgb="FF000000"/>
        <rFont val="Aptos Narrow"/>
        <family val="2"/>
      </rPr>
      <t xml:space="preserve">  </t>
    </r>
    <r>
      <rPr>
        <sz val="11"/>
        <color rgb="FF000000"/>
        <rFont val="Aptos Narrow"/>
        <family val="2"/>
      </rPr>
      <t>F341, CC in PL require MEAT, Chronic Depression codes to Dysthymic Disorder; see DEF under DX</t>
    </r>
    <r>
      <rPr>
        <sz val="11"/>
        <color rgb="FF000000"/>
        <rFont val="Aptos Narrow"/>
        <family val="2"/>
      </rPr>
      <t xml:space="preserve">  </t>
    </r>
    <r>
      <rPr>
        <sz val="11"/>
        <color rgb="FF000000"/>
        <rFont val="Aptos Narrow"/>
        <family val="2"/>
      </rPr>
      <t>F341, Chronic Depression codes to Dysthymic Disorder; see DEF under DX</t>
    </r>
    <r>
      <rPr>
        <sz val="11"/>
        <color rgb="FF000000"/>
        <rFont val="Aptos Narrow"/>
        <family val="2"/>
      </rPr>
      <t xml:space="preserve">  </t>
    </r>
    <r>
      <rPr>
        <sz val="11"/>
        <color rgb="FF000000"/>
        <rFont val="Aptos Narrow"/>
        <family val="2"/>
      </rPr>
      <t>F341, CC (A) in ASMT</t>
    </r>
  </si>
  <si>
    <t>22m</t>
  </si>
  <si>
    <t>72m</t>
  </si>
  <si>
    <t>Add E7800 pg. 13 - chronic dx noted in A/P (condition also in active PL)Update F32A pg. 30 to F339 pg. 28 - higher specificity noted in HPI, Depression in A/P ("recurrent episodes of major depression" is in provider's voice, cannot pickup severity since pt reported) Added RP (provider has different last name in HPI Registry/ARCH 'Karpinski' but Telthorst is documented, matched license# w/ prohealth site) --admin error</t>
  </si>
  <si>
    <t>57m</t>
  </si>
  <si>
    <t>CC DX specified in A/P "Chronic Depressive Disorder" codes to F341, CC DX specified in A/P "Chronic" Depressive" codes to F341, Acute CC in PMH requires MEAT</t>
  </si>
  <si>
    <t>25m</t>
  </si>
  <si>
    <t>113m</t>
  </si>
  <si>
    <r>
      <t>Update E785 to E782 pg. 9 -</t>
    </r>
    <r>
      <rPr>
        <sz val="11"/>
        <color rgb="FF000000"/>
        <rFont val="Aptos Narrow"/>
        <family val="2"/>
      </rPr>
      <t xml:space="preserve">  </t>
    </r>
    <r>
      <rPr>
        <sz val="11"/>
        <color rgb="FF000000"/>
        <rFont val="Aptos Narrow"/>
        <family val="2"/>
      </rPr>
      <t>higher specificity noted in PL (HLD &amp;amp; high cholesterol in PMH are chronic &amp;amp; do not require MEAT). See GL, pg. 50 and AHA CC Q2, 2022Update E785 to E782 pg. 12 - higher specificity noted in PL (HLD/high cholesterol in PMH don't require MEAT). See GL, pg. 50 and Aetna MRA Issue 5, pg. 120Update E785 to E782 pg. 17 - higher specificity noted in PL (HLD/high cholesterol in PMH don't require MEAT). See GL, pg. 50 and Aetna MRA Issue 5, pg. 120Update E785 pg. 24 to E782 pg. 22 - higher specificity noted in PL (HLD/high cholesterol in PMH don't require MEAT). See GL, pg. 50 and Aetna MRA Issue 5, pg. 120Update E785 pg. 36 to E782 pg. 34 - higher specificity noted in PL (HLD/high cholesterol in PMH don't require MEAT). See GL, pg. 50 and Aetna MRA Issue 5, pg. 120Add E782 pg. 39 - HLD/high cholesterol are noted in PMH, higher specificity in PL can be captured w/ support. Deleted 0000 Comment-Missing F2F and Added 2 Dx. (evidence of F2F in A/P), Add I10 pg. 38 - chronic dx in A/P. Evidence of F2F w/ acceptable provider type noted in A/P. See GL, pg. 31 (Addendums). Deleted 0000 Comment-Missing F2F and Added 2 Dx. (evidence of F2F in A/P), Add I10 pg. 42 - chronic dx in A/P. Evidence of F2F w/ acceptable provider type noted in A/P. See GL, pg. 31. Deleted 0000 Comment- Missing F2F and Added 2 DxAdd E782 pg. 43 - HLD/high cholesterol are noted in PMH, higher specificity in PL can be captured w/o MEAT. Deleted 0000 Comment- Missing F2F and Added 2 DxUpdate E785 to E782 pg. 48 -</t>
    </r>
    <r>
      <rPr>
        <sz val="11"/>
        <color rgb="FF000000"/>
        <rFont val="Aptos Narrow"/>
        <family val="2"/>
      </rPr>
      <t xml:space="preserve">  </t>
    </r>
    <r>
      <rPr>
        <sz val="11"/>
        <color rgb="FF000000"/>
        <rFont val="Aptos Narrow"/>
        <family val="2"/>
      </rPr>
      <t>higher specificity noted in PL. See GL pg. 50 &amp;amp; Aetna MRA 2024, Issue 5, pg. 120.</t>
    </r>
  </si>
  <si>
    <t>13m</t>
  </si>
  <si>
    <t>D - E7800 as PL states unrecognized unverified for condition so would not capture as higher specificity, U - E7800 to E785 pg 3 since hypercholesterolemia in PL states unrecognized unverified, D - E7800 pg 16 unconfirmed with "unrecognized unverified" stated in PL, U - E7800 to E785 pg 16 since hypercholesterolemia in PL states unrecognized unverified, ..U - E7800 to E785 pg 30 since hypercholesterolemia in PL states unrecognized unverified, U - E7800 to E785 pg 16 since hypercholesterolemia in PL states unrecognized unverified, U - E7800 to E785 pg 34 since hypercholesterolemia in PL states unrecognized unverified</t>
  </si>
  <si>
    <t>41m</t>
  </si>
  <si>
    <t>U - E785 to E781 per HPI pg 52, panel reveals elevated triglycerides for higher specificity</t>
  </si>
  <si>
    <t>15m</t>
  </si>
  <si>
    <t>52m</t>
  </si>
  <si>
    <r>
      <t xml:space="preserve"> </t>
    </r>
    <r>
      <rPr>
        <sz val="11"/>
        <color rgb="FF000000"/>
        <rFont val="Aptos Narrow"/>
        <family val="2"/>
      </rPr>
      <t>updated Secondary POS to Telehealth A/V (from Unidentified) Added Secondary POS as Telehealth Unidentified (virtual visit, no video component documented), Update F329 to F324 pg. 17 - higher specificity noted under MDD in A/PUpdate F329 to F324 pg. 17 - higher specificity noted under MDD in A/PAdd I10 pg. 32 - chronic dx noted in PL w/ MEAT. Virtual Visit documented as A/V on pg. 35. Deleted 0000 Comment-Missing F2F, added Secondary POS - Telehealth A/V and Added 1 DxAdd I10 pg. 43 - chronic dx noted in PL w/ MEAT. Virtual Visit documented as A/V on pg. 46. Deleted 0000 Comment-Missing F2F, added Secondary POS - Telehealth A/V (pg. 46) and Added 2 DxAdd F32A pg. 46 - chronic dx noted in HPI ("increased depression" noted in provider's voice). Deleted 0000 Comment-Missing F2F, added Secondary POS - Telehealth A/V (pg. 46) and Added 2 DxUpdated F329 to F324 pg. 60 - higher specificity noted under MDD in A/P.</t>
    </r>
  </si>
  <si>
    <t>traditional</t>
  </si>
  <si>
    <t>chart id</t>
  </si>
  <si>
    <t>Ciox/QA2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</si>
</sst>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rgb="FF000000"/>
      <name val="Aptos Narrow"/>
      <family val="2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1" xfId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4" borderId="1" xfId="2" applyBorder="1" applyAlignment="1">
      <alignment horizontal="center" vertical="center"/>
    </xf>
    <xf numFmtId="0" fontId="4" fillId="0" borderId="0" xfId="0" applyFont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"/>
  <sheetViews>
    <sheetView tabSelected="1" topLeftCell="N1" workbookViewId="0">
      <selection activeCell="Q22" sqref="Q22"/>
    </sheetView>
  </sheetViews>
  <sheetFormatPr defaultColWidth="9" defaultRowHeight="14.4"/>
  <cols>
    <col min="1" max="1" width="12.88671875" customWidth="1"/>
    <col min="2" max="2" width="18.5546875" customWidth="1"/>
    <col min="3" max="3" width="66.44140625" customWidth="1"/>
    <col min="4" max="4" width="19.33203125" customWidth="1"/>
    <col min="5" max="5" width="13.5546875" customWidth="1"/>
    <col min="6" max="6" width="26" customWidth="1"/>
    <col min="7" max="7" width="29" customWidth="1"/>
    <col min="8" max="8" width="12.88671875" customWidth="1"/>
    <col min="9" max="9" width="11.44140625" customWidth="1"/>
    <col min="10" max="10" width="13" customWidth="1"/>
    <col min="11" max="11" width="16" customWidth="1"/>
    <col min="12" max="12" width="18.88671875" customWidth="1"/>
    <col min="13" max="13" width="17.6640625" customWidth="1"/>
    <col min="14" max="14" width="18.6640625" customWidth="1"/>
    <col min="15" max="15" width="33.44140625" customWidth="1"/>
    <col min="16" max="16" width="33.5546875" customWidth="1"/>
    <col min="17" max="17" width="18.6640625" customWidth="1"/>
    <col min="18" max="18" width="30.44140625" customWidth="1"/>
    <col min="19" max="19" width="35.5546875" customWidth="1"/>
    <col min="20" max="20" width="18.44140625" customWidth="1"/>
    <col min="21" max="21" width="17.5546875" customWidth="1"/>
    <col min="22" max="22" width="12.88671875" customWidth="1"/>
    <col min="23" max="23" width="13.5546875" customWidth="1"/>
  </cols>
  <sheetData>
    <row r="1" spans="1:21">
      <c r="A1" s="2" t="s">
        <v>62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7" t="s">
        <v>13</v>
      </c>
      <c r="P1" s="7" t="s">
        <v>14</v>
      </c>
      <c r="Q1" s="4" t="s">
        <v>15</v>
      </c>
      <c r="R1" s="4" t="s">
        <v>16</v>
      </c>
      <c r="S1" s="4" t="s">
        <v>17</v>
      </c>
      <c r="T1" s="5" t="s">
        <v>18</v>
      </c>
      <c r="U1" s="5" t="s">
        <v>19</v>
      </c>
    </row>
    <row r="2" spans="1:21" ht="15" customHeight="1">
      <c r="A2" s="8">
        <v>54444444</v>
      </c>
      <c r="B2" s="3">
        <v>45391.563194444403</v>
      </c>
      <c r="C2" s="2" t="s">
        <v>61</v>
      </c>
      <c r="D2" s="2">
        <v>33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2</v>
      </c>
      <c r="L2" s="1">
        <f>SUM(D2:K2)</f>
        <v>35</v>
      </c>
      <c r="M2" s="1">
        <f>SUM(E2+F2+G2+H2)</f>
        <v>0</v>
      </c>
      <c r="N2" s="2">
        <v>2</v>
      </c>
      <c r="O2" s="2" t="s">
        <v>20</v>
      </c>
      <c r="P2" s="2" t="s">
        <v>21</v>
      </c>
      <c r="Q2" s="2" t="s">
        <v>22</v>
      </c>
      <c r="R2" s="2" t="s">
        <v>63</v>
      </c>
      <c r="S2" s="2" t="s">
        <v>23</v>
      </c>
      <c r="T2" s="2">
        <v>93.94</v>
      </c>
      <c r="U2" s="2">
        <v>93.94</v>
      </c>
    </row>
    <row r="3" spans="1:21" ht="15" customHeight="1">
      <c r="A3" s="8">
        <v>21409609</v>
      </c>
      <c r="B3" s="3">
        <v>45394.457638888904</v>
      </c>
      <c r="C3" s="2" t="s">
        <v>61</v>
      </c>
      <c r="D3" s="2">
        <v>29</v>
      </c>
      <c r="E3" s="2">
        <v>0</v>
      </c>
      <c r="F3" s="2">
        <v>2</v>
      </c>
      <c r="G3" s="2">
        <v>1</v>
      </c>
      <c r="H3" s="2">
        <v>0</v>
      </c>
      <c r="I3" s="2">
        <v>0</v>
      </c>
      <c r="J3" s="2">
        <v>2</v>
      </c>
      <c r="K3" s="2">
        <v>1</v>
      </c>
      <c r="L3" s="1">
        <f t="shared" ref="L3:L14" si="0">SUM(D3:K3)</f>
        <v>35</v>
      </c>
      <c r="M3" s="1">
        <f t="shared" ref="M3:M14" si="1">SUM(E3+F3+G3+H3)</f>
        <v>3</v>
      </c>
      <c r="N3" s="2">
        <v>3</v>
      </c>
      <c r="O3" s="2" t="s">
        <v>24</v>
      </c>
      <c r="P3" s="2" t="s">
        <v>25</v>
      </c>
      <c r="Q3" s="2" t="s">
        <v>26</v>
      </c>
      <c r="R3" s="2" t="s">
        <v>63</v>
      </c>
      <c r="S3" s="2" t="s">
        <v>27</v>
      </c>
      <c r="T3" s="2">
        <v>89.66</v>
      </c>
      <c r="U3" s="2">
        <v>89.66</v>
      </c>
    </row>
    <row r="4" spans="1:21" ht="15" customHeight="1">
      <c r="A4" s="8">
        <v>21409951</v>
      </c>
      <c r="B4" s="3">
        <v>45393.4555555556</v>
      </c>
      <c r="C4" s="2" t="s">
        <v>61</v>
      </c>
      <c r="D4" s="2">
        <v>8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3</v>
      </c>
      <c r="L4" s="1">
        <f t="shared" si="0"/>
        <v>11</v>
      </c>
      <c r="M4" s="1">
        <f t="shared" si="1"/>
        <v>0</v>
      </c>
      <c r="N4" s="2">
        <v>3</v>
      </c>
      <c r="O4" s="2" t="s">
        <v>28</v>
      </c>
      <c r="P4" s="2" t="s">
        <v>29</v>
      </c>
      <c r="Q4" s="6" t="s">
        <v>30</v>
      </c>
      <c r="R4" s="2" t="s">
        <v>63</v>
      </c>
      <c r="S4" s="2" t="s">
        <v>31</v>
      </c>
      <c r="T4" s="2">
        <v>62.5</v>
      </c>
      <c r="U4" s="2">
        <v>62.5</v>
      </c>
    </row>
    <row r="5" spans="1:21" ht="15" customHeight="1">
      <c r="A5" s="8">
        <v>21212912</v>
      </c>
      <c r="B5" s="3">
        <v>45392.535416666702</v>
      </c>
      <c r="C5" s="2" t="s">
        <v>61</v>
      </c>
      <c r="D5" s="2">
        <v>18</v>
      </c>
      <c r="E5" s="2">
        <v>0</v>
      </c>
      <c r="F5" s="2">
        <v>1</v>
      </c>
      <c r="G5" s="2">
        <v>0</v>
      </c>
      <c r="H5" s="2">
        <v>0</v>
      </c>
      <c r="I5" s="2">
        <v>1</v>
      </c>
      <c r="J5" s="2">
        <v>1</v>
      </c>
      <c r="K5" s="2">
        <v>1</v>
      </c>
      <c r="L5" s="1">
        <f t="shared" si="0"/>
        <v>22</v>
      </c>
      <c r="M5" s="1">
        <f t="shared" si="1"/>
        <v>1</v>
      </c>
      <c r="N5" s="2">
        <v>3</v>
      </c>
      <c r="O5" s="2" t="s">
        <v>32</v>
      </c>
      <c r="P5" s="2" t="s">
        <v>33</v>
      </c>
      <c r="Q5" s="2" t="s">
        <v>34</v>
      </c>
      <c r="R5" s="2" t="s">
        <v>63</v>
      </c>
      <c r="S5" s="2" t="s">
        <v>35</v>
      </c>
      <c r="T5" s="2">
        <v>84.21</v>
      </c>
      <c r="U5" s="2">
        <v>84.21</v>
      </c>
    </row>
    <row r="6" spans="1:21" ht="15" customHeight="1">
      <c r="A6" s="8">
        <v>21213001</v>
      </c>
      <c r="B6" s="3">
        <v>45394.762499999997</v>
      </c>
      <c r="C6" s="2" t="s">
        <v>61</v>
      </c>
      <c r="D6" s="2">
        <v>11</v>
      </c>
      <c r="E6" s="2">
        <v>0</v>
      </c>
      <c r="F6" s="2">
        <v>2</v>
      </c>
      <c r="G6" s="2">
        <v>0</v>
      </c>
      <c r="H6" s="2">
        <v>0</v>
      </c>
      <c r="I6" s="2">
        <v>2</v>
      </c>
      <c r="J6" s="2">
        <v>2</v>
      </c>
      <c r="K6" s="2">
        <v>1</v>
      </c>
      <c r="L6" s="1">
        <f t="shared" si="0"/>
        <v>18</v>
      </c>
      <c r="M6" s="1">
        <f t="shared" si="1"/>
        <v>2</v>
      </c>
      <c r="N6" s="2">
        <v>5</v>
      </c>
      <c r="O6" s="2" t="s">
        <v>36</v>
      </c>
      <c r="P6" s="2" t="s">
        <v>37</v>
      </c>
      <c r="Q6" s="2" t="s">
        <v>38</v>
      </c>
      <c r="R6" s="2" t="s">
        <v>63</v>
      </c>
      <c r="S6" s="2" t="s">
        <v>35</v>
      </c>
      <c r="T6" s="2">
        <v>61.54</v>
      </c>
      <c r="U6" s="2">
        <v>61.54</v>
      </c>
    </row>
    <row r="7" spans="1:21" ht="15" customHeight="1">
      <c r="A7" s="8">
        <v>21213023</v>
      </c>
      <c r="B7" s="3">
        <v>45392.488888888904</v>
      </c>
      <c r="C7" s="2" t="s">
        <v>61</v>
      </c>
      <c r="D7" s="2">
        <v>17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1">
        <f t="shared" si="0"/>
        <v>18</v>
      </c>
      <c r="M7" s="1">
        <f t="shared" si="1"/>
        <v>0</v>
      </c>
      <c r="N7" s="2">
        <v>1</v>
      </c>
      <c r="O7" s="2" t="s">
        <v>39</v>
      </c>
      <c r="P7" s="2" t="s">
        <v>40</v>
      </c>
      <c r="Q7" s="2" t="s">
        <v>41</v>
      </c>
      <c r="R7" s="2" t="s">
        <v>63</v>
      </c>
      <c r="S7" s="2" t="s">
        <v>42</v>
      </c>
      <c r="T7" s="2">
        <v>94.12</v>
      </c>
      <c r="U7" s="2">
        <v>94.12</v>
      </c>
    </row>
    <row r="8" spans="1:21" ht="15" customHeight="1">
      <c r="A8" s="8">
        <v>21213188</v>
      </c>
      <c r="B8" s="3">
        <v>45393.423611111102</v>
      </c>
      <c r="C8" s="2" t="s">
        <v>61</v>
      </c>
      <c r="D8" s="2">
        <v>27</v>
      </c>
      <c r="E8" s="2">
        <v>0</v>
      </c>
      <c r="F8" s="2">
        <v>1</v>
      </c>
      <c r="G8" s="2">
        <v>0</v>
      </c>
      <c r="H8" s="2">
        <v>0</v>
      </c>
      <c r="I8" s="2">
        <v>1</v>
      </c>
      <c r="J8" s="2">
        <v>1</v>
      </c>
      <c r="K8" s="2">
        <v>8</v>
      </c>
      <c r="L8" s="1">
        <f t="shared" si="0"/>
        <v>38</v>
      </c>
      <c r="M8" s="1">
        <f t="shared" si="1"/>
        <v>1</v>
      </c>
      <c r="N8" s="2">
        <v>10</v>
      </c>
      <c r="O8" s="2" t="s">
        <v>43</v>
      </c>
      <c r="P8" s="2" t="s">
        <v>44</v>
      </c>
      <c r="Q8" s="2" t="s">
        <v>45</v>
      </c>
      <c r="R8" s="2" t="s">
        <v>63</v>
      </c>
      <c r="S8" s="2" t="s">
        <v>42</v>
      </c>
      <c r="T8" s="2">
        <v>64.290000000000006</v>
      </c>
      <c r="U8" s="2">
        <v>64.290000000000006</v>
      </c>
    </row>
    <row r="9" spans="1:21" ht="15" customHeight="1">
      <c r="A9" s="8">
        <v>21213143</v>
      </c>
      <c r="B9" s="3">
        <v>45392.745138888902</v>
      </c>
      <c r="C9" s="2" t="s">
        <v>61</v>
      </c>
      <c r="D9" s="2">
        <v>6</v>
      </c>
      <c r="E9" s="2">
        <v>0</v>
      </c>
      <c r="F9" s="2">
        <v>1</v>
      </c>
      <c r="G9" s="2">
        <v>0</v>
      </c>
      <c r="H9" s="2">
        <v>0</v>
      </c>
      <c r="I9" s="2">
        <v>1</v>
      </c>
      <c r="J9" s="2">
        <v>0</v>
      </c>
      <c r="K9" s="2">
        <v>1</v>
      </c>
      <c r="L9" s="1">
        <f t="shared" si="0"/>
        <v>9</v>
      </c>
      <c r="M9" s="1">
        <f t="shared" si="1"/>
        <v>1</v>
      </c>
      <c r="N9" s="2">
        <v>3</v>
      </c>
      <c r="O9" s="2" t="s">
        <v>46</v>
      </c>
      <c r="P9" s="2" t="s">
        <v>47</v>
      </c>
      <c r="Q9" s="2" t="s">
        <v>48</v>
      </c>
      <c r="R9" s="2" t="s">
        <v>63</v>
      </c>
      <c r="S9" s="2" t="s">
        <v>23</v>
      </c>
      <c r="T9" s="2">
        <v>57.14</v>
      </c>
      <c r="U9" s="2">
        <v>71.430000000000007</v>
      </c>
    </row>
    <row r="10" spans="1:21" ht="15" customHeight="1">
      <c r="A10" s="8">
        <v>21213207</v>
      </c>
      <c r="B10" s="3">
        <v>45392.654166666704</v>
      </c>
      <c r="C10" s="2" t="s">
        <v>61</v>
      </c>
      <c r="D10" s="2">
        <v>22</v>
      </c>
      <c r="E10" s="2">
        <v>0</v>
      </c>
      <c r="F10" s="2">
        <v>1</v>
      </c>
      <c r="G10" s="2">
        <v>0</v>
      </c>
      <c r="H10" s="2">
        <v>0</v>
      </c>
      <c r="I10" s="2">
        <v>0</v>
      </c>
      <c r="J10" s="2">
        <v>1</v>
      </c>
      <c r="K10" s="2">
        <v>2</v>
      </c>
      <c r="L10" s="1">
        <f t="shared" si="0"/>
        <v>26</v>
      </c>
      <c r="M10" s="1">
        <f t="shared" si="1"/>
        <v>1</v>
      </c>
      <c r="N10" s="2">
        <v>3</v>
      </c>
      <c r="O10" s="2" t="s">
        <v>32</v>
      </c>
      <c r="P10" s="2" t="s">
        <v>49</v>
      </c>
      <c r="Q10" s="2" t="s">
        <v>50</v>
      </c>
      <c r="R10" s="2" t="s">
        <v>63</v>
      </c>
      <c r="S10" s="2" t="s">
        <v>42</v>
      </c>
      <c r="T10" s="2">
        <v>86.36</v>
      </c>
      <c r="U10" s="2">
        <v>86.36</v>
      </c>
    </row>
    <row r="11" spans="1:21" ht="15" customHeight="1">
      <c r="A11" s="8">
        <v>21213963</v>
      </c>
      <c r="B11" s="3">
        <v>45390.547916666699</v>
      </c>
      <c r="C11" s="2" t="s">
        <v>61</v>
      </c>
      <c r="D11" s="2">
        <v>18</v>
      </c>
      <c r="E11" s="2">
        <v>0</v>
      </c>
      <c r="F11" s="2">
        <v>2</v>
      </c>
      <c r="G11" s="2">
        <v>0</v>
      </c>
      <c r="H11" s="2">
        <v>0</v>
      </c>
      <c r="I11" s="2">
        <v>4</v>
      </c>
      <c r="J11" s="2">
        <v>2</v>
      </c>
      <c r="K11" s="2">
        <v>6</v>
      </c>
      <c r="L11" s="1">
        <f t="shared" si="0"/>
        <v>32</v>
      </c>
      <c r="M11" s="1">
        <f t="shared" si="1"/>
        <v>2</v>
      </c>
      <c r="N11" s="2">
        <v>12</v>
      </c>
      <c r="O11" s="2" t="s">
        <v>51</v>
      </c>
      <c r="P11" s="2" t="s">
        <v>52</v>
      </c>
      <c r="Q11" s="2" t="s">
        <v>53</v>
      </c>
      <c r="R11" s="2" t="s">
        <v>63</v>
      </c>
      <c r="S11" s="2" t="s">
        <v>23</v>
      </c>
      <c r="T11" s="2">
        <v>45.45</v>
      </c>
      <c r="U11" s="2">
        <v>45.45</v>
      </c>
    </row>
    <row r="12" spans="1:21" ht="15" customHeight="1">
      <c r="A12" s="8">
        <v>21214094</v>
      </c>
      <c r="B12" s="3">
        <v>45393.375</v>
      </c>
      <c r="C12" s="2" t="s">
        <v>61</v>
      </c>
      <c r="D12" s="2">
        <v>8</v>
      </c>
      <c r="E12" s="2">
        <v>0</v>
      </c>
      <c r="F12" s="2">
        <v>1</v>
      </c>
      <c r="G12" s="2">
        <v>0</v>
      </c>
      <c r="H12" s="2">
        <v>0</v>
      </c>
      <c r="I12" s="2">
        <v>1</v>
      </c>
      <c r="J12" s="2">
        <v>1</v>
      </c>
      <c r="K12" s="2">
        <v>3</v>
      </c>
      <c r="L12" s="1">
        <f t="shared" si="0"/>
        <v>14</v>
      </c>
      <c r="M12" s="1">
        <f t="shared" si="1"/>
        <v>1</v>
      </c>
      <c r="N12" s="2">
        <v>5</v>
      </c>
      <c r="O12" s="2" t="s">
        <v>54</v>
      </c>
      <c r="P12" s="2" t="s">
        <v>51</v>
      </c>
      <c r="Q12" s="2" t="s">
        <v>55</v>
      </c>
      <c r="R12" s="2" t="s">
        <v>63</v>
      </c>
      <c r="S12" s="2" t="s">
        <v>31</v>
      </c>
      <c r="T12" s="2">
        <v>44.44</v>
      </c>
      <c r="U12" s="2">
        <v>44.44</v>
      </c>
    </row>
    <row r="13" spans="1:21" ht="15" customHeight="1">
      <c r="A13" s="8">
        <v>21214298</v>
      </c>
      <c r="B13" s="3">
        <v>45393.501388888901</v>
      </c>
      <c r="C13" s="2" t="s">
        <v>61</v>
      </c>
      <c r="D13" s="2">
        <v>10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1</v>
      </c>
      <c r="L13" s="1">
        <f t="shared" si="0"/>
        <v>11</v>
      </c>
      <c r="M13" s="1">
        <f t="shared" si="1"/>
        <v>0</v>
      </c>
      <c r="N13" s="2">
        <v>1</v>
      </c>
      <c r="O13" s="2" t="s">
        <v>51</v>
      </c>
      <c r="P13" s="2" t="s">
        <v>56</v>
      </c>
      <c r="Q13" s="2" t="s">
        <v>57</v>
      </c>
      <c r="R13" s="2" t="s">
        <v>63</v>
      </c>
      <c r="S13" s="2" t="s">
        <v>31</v>
      </c>
      <c r="T13" s="2">
        <v>90</v>
      </c>
      <c r="U13" s="2">
        <v>90</v>
      </c>
    </row>
    <row r="14" spans="1:21" ht="15" customHeight="1">
      <c r="A14" s="8">
        <v>21214272</v>
      </c>
      <c r="B14" s="3">
        <v>45391.720138888901</v>
      </c>
      <c r="C14" s="2" t="s">
        <v>61</v>
      </c>
      <c r="D14" s="2">
        <v>8</v>
      </c>
      <c r="E14" s="2">
        <v>0</v>
      </c>
      <c r="F14" s="2">
        <v>3</v>
      </c>
      <c r="G14" s="2">
        <v>0</v>
      </c>
      <c r="H14" s="2">
        <v>0</v>
      </c>
      <c r="I14" s="2">
        <v>4</v>
      </c>
      <c r="J14" s="2">
        <v>3</v>
      </c>
      <c r="K14" s="2">
        <v>1</v>
      </c>
      <c r="L14" s="1">
        <f t="shared" si="0"/>
        <v>19</v>
      </c>
      <c r="M14" s="1">
        <f t="shared" si="1"/>
        <v>3</v>
      </c>
      <c r="N14" s="2">
        <v>10</v>
      </c>
      <c r="O14" s="2" t="s">
        <v>58</v>
      </c>
      <c r="P14" s="2" t="s">
        <v>59</v>
      </c>
      <c r="Q14" s="2" t="s">
        <v>60</v>
      </c>
      <c r="R14" s="2" t="s">
        <v>63</v>
      </c>
      <c r="S14" s="2" t="s">
        <v>23</v>
      </c>
      <c r="T14" s="2">
        <v>16.670000000000002</v>
      </c>
      <c r="U14" s="2">
        <v>33.33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Shrijanani S</dc:creator>
  <cp:lastModifiedBy>Shri Janani S</cp:lastModifiedBy>
  <dcterms:created xsi:type="dcterms:W3CDTF">2024-04-25T14:25:00Z</dcterms:created>
  <dcterms:modified xsi:type="dcterms:W3CDTF">2024-06-06T08:51:58Z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DB82C771A4F741F8A1FD9EC6040ADBDC_12</vt:lpwstr>
  </property>
  <property fmtid="{D5CDD505-2E9C-101B-9397-08002B2CF9AE}" pid="3" name="KSOProductBuildVer">
    <vt:lpwstr>1033-12.2.0.16731</vt:lpwstr>
  </property>
</Properties>
</file>